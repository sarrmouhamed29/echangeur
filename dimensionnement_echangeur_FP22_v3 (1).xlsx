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SPIRON 16Plus\OneDrive\Documents\Doc PFE\"/>
    </mc:Choice>
  </mc:AlternateContent>
  <xr:revisionPtr revIDLastSave="0" documentId="13_ncr:1_{DD96FBCF-8EAB-4BB2-8CAA-6B1D8A8F58EF}" xr6:coauthVersionLast="47" xr6:coauthVersionMax="47" xr10:uidLastSave="{00000000-0000-0000-0000-000000000000}"/>
  <bookViews>
    <workbookView xWindow="-98" yWindow="-98" windowWidth="23236" windowHeight="13875" tabRatio="500" xr2:uid="{00000000-000D-0000-FFFF-FFFF00000000}"/>
  </bookViews>
  <sheets>
    <sheet name="Itération H Global" sheetId="1" r:id="rId1"/>
    <sheet name="Guid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1" i="1" l="1"/>
  <c r="B106" i="1"/>
  <c r="B141" i="1"/>
  <c r="B175" i="1"/>
  <c r="B184" i="1"/>
  <c r="C169" i="1"/>
  <c r="C168" i="1"/>
  <c r="C167" i="1"/>
  <c r="C160" i="1"/>
  <c r="C153" i="1"/>
  <c r="C148" i="1"/>
  <c r="C147" i="1"/>
  <c r="C135" i="1"/>
  <c r="C134" i="1"/>
  <c r="C133" i="1"/>
  <c r="C126" i="1"/>
  <c r="C119" i="1"/>
  <c r="C114" i="1"/>
  <c r="C113" i="1"/>
  <c r="C100" i="1"/>
  <c r="C99" i="1"/>
  <c r="C98" i="1"/>
  <c r="C91" i="1"/>
  <c r="C84" i="1"/>
  <c r="C79" i="1"/>
  <c r="C78" i="1"/>
  <c r="C65" i="1"/>
  <c r="C64" i="1"/>
  <c r="C63" i="1"/>
  <c r="C56" i="1"/>
  <c r="C49" i="1"/>
  <c r="C44" i="1"/>
  <c r="C43" i="1"/>
  <c r="C41" i="1"/>
  <c r="C42" i="1" s="1"/>
  <c r="C40" i="1"/>
  <c r="C25" i="1"/>
  <c r="C47" i="1" l="1"/>
  <c r="C48" i="1" s="1"/>
  <c r="C50" i="1" s="1"/>
  <c r="C51" i="1" s="1"/>
  <c r="C54" i="1"/>
  <c r="C55" i="1" s="1"/>
  <c r="C57" i="1" s="1"/>
  <c r="C58" i="1" s="1"/>
  <c r="C62" i="1" s="1"/>
  <c r="C67" i="1" l="1"/>
  <c r="C66" i="1"/>
  <c r="C61" i="1"/>
  <c r="C180" i="1" l="1"/>
  <c r="C75" i="1"/>
  <c r="C76" i="1" s="1"/>
  <c r="C77" i="1" s="1"/>
  <c r="C70" i="1"/>
  <c r="D180" i="1" l="1"/>
  <c r="C89" i="1"/>
  <c r="C90" i="1" s="1"/>
  <c r="C92" i="1" s="1"/>
  <c r="C93" i="1" s="1"/>
  <c r="C97" i="1" s="1"/>
  <c r="C82" i="1"/>
  <c r="C83" i="1" s="1"/>
  <c r="C85" i="1" s="1"/>
  <c r="C86" i="1" s="1"/>
  <c r="C102" i="1" l="1"/>
  <c r="C101" i="1"/>
  <c r="C96" i="1"/>
  <c r="C181" i="1" l="1"/>
  <c r="C110" i="1"/>
  <c r="C111" i="1" s="1"/>
  <c r="C112" i="1" s="1"/>
  <c r="C105" i="1"/>
  <c r="D181" i="1" l="1"/>
  <c r="C124" i="1"/>
  <c r="C125" i="1" s="1"/>
  <c r="C127" i="1" s="1"/>
  <c r="C128" i="1" s="1"/>
  <c r="C132" i="1" s="1"/>
  <c r="C117" i="1"/>
  <c r="C118" i="1" s="1"/>
  <c r="C120" i="1" s="1"/>
  <c r="C121" i="1" s="1"/>
  <c r="C137" i="1" l="1"/>
  <c r="C136" i="1"/>
  <c r="C131" i="1"/>
  <c r="C182" i="1" l="1"/>
  <c r="C144" i="1"/>
  <c r="C145" i="1" s="1"/>
  <c r="C146" i="1" s="1"/>
  <c r="C140" i="1"/>
  <c r="D182" i="1" l="1"/>
  <c r="C158" i="1"/>
  <c r="C159" i="1" s="1"/>
  <c r="C161" i="1" s="1"/>
  <c r="C162" i="1" s="1"/>
  <c r="C166" i="1" s="1"/>
  <c r="C151" i="1"/>
  <c r="C152" i="1" s="1"/>
  <c r="C154" i="1" s="1"/>
  <c r="C155" i="1" s="1"/>
  <c r="C171" i="1" l="1"/>
  <c r="C170" i="1"/>
  <c r="C165" i="1"/>
  <c r="C183" i="1" l="1"/>
  <c r="C174" i="1"/>
  <c r="D183" i="1" l="1"/>
</calcChain>
</file>

<file path=xl/sharedStrings.xml><?xml version="1.0" encoding="utf-8"?>
<sst xmlns="http://schemas.openxmlformats.org/spreadsheetml/2006/main" count="288" uniqueCount="105">
  <si>
    <t>1/H = 1/h_eau + 1/h_huile + e/λ_paroi + R_enc,eau + R_enc,huile   |   Nu = 0,212·Re⁰·⁶³⁸·Pr⁰·³³</t>
  </si>
  <si>
    <t xml:space="preserve">  ① DONNÉES D'ENTRÉE  (cellules bleues = à remplir)</t>
  </si>
  <si>
    <t>Paramètre</t>
  </si>
  <si>
    <t>Valeur</t>
  </si>
  <si>
    <t>Unité</t>
  </si>
  <si>
    <t xml:space="preserve">  Données process</t>
  </si>
  <si>
    <t>Puissance à échanger P</t>
  </si>
  <si>
    <t>W</t>
  </si>
  <si>
    <t>DTLM</t>
  </si>
  <si>
    <t>K</t>
  </si>
  <si>
    <t>H_global estimé initial</t>
  </si>
  <si>
    <t>W/m²K</t>
  </si>
  <si>
    <t>Seuil de convergence</t>
  </si>
  <si>
    <t>%</t>
  </si>
  <si>
    <t xml:space="preserve">  Géométrie plaque FP 22</t>
  </si>
  <si>
    <t>Surface unitaire plaque s</t>
  </si>
  <si>
    <t>m²</t>
  </si>
  <si>
    <t>Gap entre plaques b</t>
  </si>
  <si>
    <t>m</t>
  </si>
  <si>
    <t>Largeur utile plaque l</t>
  </si>
  <si>
    <t xml:space="preserve">  Paroi &amp; encrassement</t>
  </si>
  <si>
    <t>Épaisseur paroi e</t>
  </si>
  <si>
    <t>Conductivité paroi λ_paroi</t>
  </si>
  <si>
    <t>W/mK</t>
  </si>
  <si>
    <t>Résistance encrassement eau</t>
  </si>
  <si>
    <t>m²K/W</t>
  </si>
  <si>
    <t>Résistance encrassement huile</t>
  </si>
  <si>
    <t xml:space="preserve">  Propriétés fluide — EAU (à 33°C)</t>
  </si>
  <si>
    <t>Débit volumique Q_eau</t>
  </si>
  <si>
    <t>m³/s</t>
  </si>
  <si>
    <t>Masse volumique ρ_eau</t>
  </si>
  <si>
    <t>kg/m³</t>
  </si>
  <si>
    <t>Viscosité dynamique μ_eau</t>
  </si>
  <si>
    <t>Pa·s</t>
  </si>
  <si>
    <t>Chaleur massique cp_eau</t>
  </si>
  <si>
    <t>J/kgK</t>
  </si>
  <si>
    <t>Conductivité λ_eau</t>
  </si>
  <si>
    <t xml:space="preserve">  Propriétés fluide — HUILE AZOLLA ZS 46 (à 40°C)</t>
  </si>
  <si>
    <t>Débit volumique Q_huile</t>
  </si>
  <si>
    <t>Masse volumique ρ_huile</t>
  </si>
  <si>
    <t>Viscosité dynamique μ_huile</t>
  </si>
  <si>
    <t>Chaleur massique cp_huile</t>
  </si>
  <si>
    <t>Conductivité λ_huile</t>
  </si>
  <si>
    <t xml:space="preserve">  ② ITÉRATION 1 — H_global estimé = C10 W/m²K</t>
  </si>
  <si>
    <t xml:space="preserve">    Surface d'échange et nombre de plaques</t>
  </si>
  <si>
    <t>Surface d'échange  S = P / (H_est × DTLM)</t>
  </si>
  <si>
    <t>Nombre de plaques  N = ceil(S / s)</t>
  </si>
  <si>
    <t>—</t>
  </si>
  <si>
    <t>Nombre de canaux  n = (N+1)/2</t>
  </si>
  <si>
    <t>Section canal  A = b × l</t>
  </si>
  <si>
    <t>Diam. hydraulique  Dh = 4·b·l / 2(b+l)</t>
  </si>
  <si>
    <t xml:space="preserve">    Calcul h_eau</t>
  </si>
  <si>
    <t>Vitesse eau  v = Q_eau / (n × A)</t>
  </si>
  <si>
    <t>m/s</t>
  </si>
  <si>
    <t>Reynolds eau  Re = ρ·v·Dh / μ</t>
  </si>
  <si>
    <t>Prandtl eau  Pr = μ·cp / λ</t>
  </si>
  <si>
    <t>Nusselt eau  Nu = 0,212·Re⁰·⁶³⁸·Pr⁰·³³</t>
  </si>
  <si>
    <t>h_eau = Nu · λ_eau / Dh</t>
  </si>
  <si>
    <t xml:space="preserve">    Calcul h_huile</t>
  </si>
  <si>
    <t>Vitesse huile  v = Q_huile / (n × A)</t>
  </si>
  <si>
    <t>Reynolds huile  Re = ρ·v·Dh / μ</t>
  </si>
  <si>
    <t>Prandtl huile  Pr = μ·cp / λ</t>
  </si>
  <si>
    <t>Nusselt huile  Nu = 0,212·Re⁰·⁶³⁸·Pr⁰·³³</t>
  </si>
  <si>
    <t>h_huile = Nu · λ_huile / Dh</t>
  </si>
  <si>
    <t xml:space="preserve">    Calcul H_global</t>
  </si>
  <si>
    <t>1/h_eau</t>
  </si>
  <si>
    <t>1/h_huile</t>
  </si>
  <si>
    <t>e / λ_paroi</t>
  </si>
  <si>
    <t>R_enc eau</t>
  </si>
  <si>
    <t>R_enc huile</t>
  </si>
  <si>
    <t>Σ résistances = 1/H</t>
  </si>
  <si>
    <t>H_global calculé</t>
  </si>
  <si>
    <t xml:space="preserve">    Vérification convergence</t>
  </si>
  <si>
    <t>Erreur  |H_est − H_calc| / H_est</t>
  </si>
  <si>
    <t xml:space="preserve">  ② ITÉRATION 2 — H_global estimé = H_global calculé itération 1</t>
  </si>
  <si>
    <t xml:space="preserve">  ② ITÉRATION 3 — H_global estimé = H_global calculé itération 2</t>
  </si>
  <si>
    <t xml:space="preserve">  ② ITÉRATION 4 — H_global estimé = H_global calculé itération 3</t>
  </si>
  <si>
    <t xml:space="preserve">  ③ RÉCAPITULATIF — CONVERGENCE DE H_GLOBAL</t>
  </si>
  <si>
    <t>Itération</t>
  </si>
  <si>
    <t>H_global calculé (W/m²K)</t>
  </si>
  <si>
    <t>Erreur (%)</t>
  </si>
  <si>
    <t>Itération 1</t>
  </si>
  <si>
    <t>Itération 2</t>
  </si>
  <si>
    <t>Itération 3</t>
  </si>
  <si>
    <t>Itération 4</t>
  </si>
  <si>
    <t>GUIDE D'UTILISATION</t>
  </si>
  <si>
    <t>PRINCIPE</t>
  </si>
  <si>
    <t>On itère uniquement sur H_global. À chaque itération, h_eau et h_huile sont calculés directement sans condition de convergence intermédiaire. Seul l'écart entre H_global estimé et H_global calculé est contrôlé.</t>
  </si>
  <si>
    <t>ÉTAPE 1</t>
  </si>
  <si>
    <t>Remplir toutes les cellules bleues : données process, géométrie plaque, paroi, encrassement, propriétés eau et huile.</t>
  </si>
  <si>
    <t>ÉTAPE 2</t>
  </si>
  <si>
    <t>L'itération 1 part du H_global estimé initial (défaut 500 W/m²K). Elle calcule S, N, n, Dh, puis h_eau, h_huile, puis H_global.</t>
  </si>
  <si>
    <t>ÉTAPE 3</t>
  </si>
  <si>
    <t>L'itération 2 reprend automatiquement le H_global calculé de l'itération 1. Idem pour l'itération 3.</t>
  </si>
  <si>
    <t>CRITÈRE</t>
  </si>
  <si>
    <t>Erreur = |H_estimé − H_calculé| / H_estimé. Convergence si Erreur &lt; seuil (défaut 5%).</t>
  </si>
  <si>
    <t>RÉSULTAT</t>
  </si>
  <si>
    <t>Le tableau récapitulatif donne H_global et la surface finale S = P / (H × DTLM) une fois convergé.</t>
  </si>
  <si>
    <t>FORMULE H</t>
  </si>
  <si>
    <t>1/H = 1/h_eau + 1/h_huile + e/λ_paroi + R_enc,eau + R_enc,huile  avec R_enc,eau=0,001 et R_enc,huile=0,0009 m²K/W</t>
  </si>
  <si>
    <t>FP 22</t>
  </si>
  <si>
    <t>Surface plaque = 0,21 m²  |  Largeur = 310 mm  |  Pression max 25 bar  |  Connexions DN 100</t>
  </si>
  <si>
    <t>CORRÉLATION</t>
  </si>
  <si>
    <t>Nu = 0,212 × Re⁰·⁶³⁸ × Pr⁰·³³  (valable côté eau ET huile pour plaques chevronnées)</t>
  </si>
  <si>
    <t>DIMENSIONNEMENT ÉCHANGEUR À PLAQUES FP 22-117-NF-0 — 
ITÉRATION SUR H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</si>
</sst>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3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2E75B6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sz val="9"/>
      <color rgb="FF1F3864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b/>
      <sz val="13"/>
      <color rgb="FFFFFFFF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D9D9D9"/>
        <bgColor rgb="FFD6E4F0"/>
      </patternFill>
    </fill>
    <fill>
      <patternFill patternType="solid">
        <fgColor rgb="FF00B0F0"/>
        <bgColor rgb="FF33CCCC"/>
      </patternFill>
    </fill>
    <fill>
      <patternFill patternType="solid">
        <fgColor rgb="FFED7D31"/>
        <bgColor rgb="FFFF8080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C00000"/>
        <bgColor rgb="FF80000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339966"/>
      </patternFill>
    </fill>
    <fill>
      <patternFill patternType="solid">
        <fgColor theme="9" tint="-0.249977111117893"/>
        <bgColor rgb="FF339966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64" fontId="6" fillId="10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164" fontId="6" fillId="11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10" fontId="11" fillId="13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3" xfId="0" applyBorder="1"/>
    <xf numFmtId="0" fontId="11" fillId="5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10" fontId="4" fillId="14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84"/>
  <sheetViews>
    <sheetView showGridLines="0" tabSelected="1" zoomScale="92" zoomScaleNormal="92" workbookViewId="0">
      <selection activeCell="A20" sqref="A20"/>
    </sheetView>
  </sheetViews>
  <sheetFormatPr baseColWidth="10" defaultColWidth="8.6640625" defaultRowHeight="14.25" x14ac:dyDescent="0.45"/>
  <cols>
    <col min="1" max="1" width="12.19921875" customWidth="1"/>
    <col min="2" max="2" width="40" customWidth="1"/>
    <col min="3" max="3" width="18" customWidth="1"/>
    <col min="4" max="4" width="19.33203125" customWidth="1"/>
    <col min="5" max="5" width="2" customWidth="1"/>
  </cols>
  <sheetData>
    <row r="1" spans="2:4" ht="25.9" customHeight="1" x14ac:dyDescent="0.45"/>
    <row r="2" spans="2:4" ht="44.25" customHeight="1" x14ac:dyDescent="0.45">
      <c r="B2" s="22" t="s">
        <v>104</v>
      </c>
      <c r="C2" s="23"/>
      <c r="D2" s="23"/>
    </row>
    <row r="3" spans="2:4" ht="15.75" customHeight="1" x14ac:dyDescent="0.45">
      <c r="B3" s="24" t="s">
        <v>0</v>
      </c>
      <c r="C3" s="24"/>
      <c r="D3" s="24"/>
    </row>
    <row r="5" spans="2:4" ht="21.75" customHeight="1" x14ac:dyDescent="0.45">
      <c r="B5" s="25" t="s">
        <v>1</v>
      </c>
      <c r="C5" s="25"/>
      <c r="D5" s="25"/>
    </row>
    <row r="6" spans="2:4" ht="18" customHeight="1" x14ac:dyDescent="0.45">
      <c r="B6" s="1" t="s">
        <v>2</v>
      </c>
      <c r="C6" s="1" t="s">
        <v>3</v>
      </c>
      <c r="D6" s="1" t="s">
        <v>4</v>
      </c>
    </row>
    <row r="7" spans="2:4" ht="15.75" customHeight="1" x14ac:dyDescent="0.45">
      <c r="B7" s="26" t="s">
        <v>5</v>
      </c>
      <c r="C7" s="26"/>
      <c r="D7" s="26"/>
    </row>
    <row r="8" spans="2:4" ht="18" customHeight="1" x14ac:dyDescent="0.45">
      <c r="B8" s="2" t="s">
        <v>6</v>
      </c>
      <c r="C8" s="3">
        <v>36551</v>
      </c>
      <c r="D8" s="4" t="s">
        <v>7</v>
      </c>
    </row>
    <row r="9" spans="2:4" ht="18" customHeight="1" x14ac:dyDescent="0.45">
      <c r="B9" s="2" t="s">
        <v>8</v>
      </c>
      <c r="C9" s="3">
        <v>8.9600000000000009</v>
      </c>
      <c r="D9" s="4" t="s">
        <v>9</v>
      </c>
    </row>
    <row r="10" spans="2:4" ht="18" customHeight="1" x14ac:dyDescent="0.45">
      <c r="B10" s="2" t="s">
        <v>10</v>
      </c>
      <c r="C10" s="3">
        <v>500</v>
      </c>
      <c r="D10" s="4" t="s">
        <v>11</v>
      </c>
    </row>
    <row r="11" spans="2:4" ht="18" customHeight="1" x14ac:dyDescent="0.45">
      <c r="B11" s="2" t="s">
        <v>12</v>
      </c>
      <c r="C11" s="3">
        <v>5</v>
      </c>
      <c r="D11" s="4" t="s">
        <v>13</v>
      </c>
    </row>
    <row r="13" spans="2:4" ht="15.75" customHeight="1" x14ac:dyDescent="0.45">
      <c r="B13" s="26" t="s">
        <v>14</v>
      </c>
      <c r="C13" s="26"/>
      <c r="D13" s="26"/>
    </row>
    <row r="14" spans="2:4" ht="18" customHeight="1" x14ac:dyDescent="0.45">
      <c r="B14" s="2" t="s">
        <v>15</v>
      </c>
      <c r="C14" s="3">
        <v>0.21</v>
      </c>
      <c r="D14" s="4" t="s">
        <v>16</v>
      </c>
    </row>
    <row r="15" spans="2:4" ht="18" customHeight="1" x14ac:dyDescent="0.45">
      <c r="B15" s="2" t="s">
        <v>17</v>
      </c>
      <c r="C15" s="3">
        <v>2.5000000000000001E-3</v>
      </c>
      <c r="D15" s="4" t="s">
        <v>18</v>
      </c>
    </row>
    <row r="16" spans="2:4" ht="18" customHeight="1" x14ac:dyDescent="0.45">
      <c r="B16" s="2" t="s">
        <v>19</v>
      </c>
      <c r="C16" s="3">
        <v>0.31</v>
      </c>
      <c r="D16" s="4" t="s">
        <v>18</v>
      </c>
    </row>
    <row r="18" spans="2:4" ht="15.75" customHeight="1" x14ac:dyDescent="0.45">
      <c r="B18" s="26" t="s">
        <v>20</v>
      </c>
      <c r="C18" s="26"/>
      <c r="D18" s="26"/>
    </row>
    <row r="19" spans="2:4" ht="18" customHeight="1" x14ac:dyDescent="0.45">
      <c r="B19" s="2" t="s">
        <v>21</v>
      </c>
      <c r="C19" s="3">
        <v>5.9999999999999995E-4</v>
      </c>
      <c r="D19" s="4" t="s">
        <v>18</v>
      </c>
    </row>
    <row r="20" spans="2:4" ht="18" customHeight="1" x14ac:dyDescent="0.45">
      <c r="B20" s="2" t="s">
        <v>22</v>
      </c>
      <c r="C20" s="3">
        <v>15</v>
      </c>
      <c r="D20" s="4" t="s">
        <v>23</v>
      </c>
    </row>
    <row r="21" spans="2:4" ht="18" customHeight="1" x14ac:dyDescent="0.45">
      <c r="B21" s="2" t="s">
        <v>24</v>
      </c>
      <c r="C21" s="3">
        <v>1E-3</v>
      </c>
      <c r="D21" s="4" t="s">
        <v>25</v>
      </c>
    </row>
    <row r="22" spans="2:4" ht="18" customHeight="1" x14ac:dyDescent="0.45">
      <c r="B22" s="2" t="s">
        <v>26</v>
      </c>
      <c r="C22" s="3">
        <v>8.9999999999999998E-4</v>
      </c>
      <c r="D22" s="4" t="s">
        <v>25</v>
      </c>
    </row>
    <row r="24" spans="2:4" ht="15.75" customHeight="1" x14ac:dyDescent="0.45">
      <c r="B24" s="27" t="s">
        <v>27</v>
      </c>
      <c r="C24" s="27"/>
      <c r="D24" s="27"/>
    </row>
    <row r="25" spans="2:4" ht="18" customHeight="1" x14ac:dyDescent="0.45">
      <c r="B25" s="2" t="s">
        <v>28</v>
      </c>
      <c r="C25" s="3">
        <f>7.9/3600</f>
        <v>2.1944444444444446E-3</v>
      </c>
      <c r="D25" s="4" t="s">
        <v>29</v>
      </c>
    </row>
    <row r="26" spans="2:4" ht="18" customHeight="1" x14ac:dyDescent="0.45">
      <c r="B26" s="2" t="s">
        <v>30</v>
      </c>
      <c r="C26" s="3">
        <v>994.7</v>
      </c>
      <c r="D26" s="4" t="s">
        <v>31</v>
      </c>
    </row>
    <row r="27" spans="2:4" ht="18" customHeight="1" x14ac:dyDescent="0.45">
      <c r="B27" s="2" t="s">
        <v>32</v>
      </c>
      <c r="C27" s="3">
        <v>7.4899999999999999E-4</v>
      </c>
      <c r="D27" s="4" t="s">
        <v>33</v>
      </c>
    </row>
    <row r="28" spans="2:4" ht="18" customHeight="1" x14ac:dyDescent="0.45">
      <c r="B28" s="2" t="s">
        <v>34</v>
      </c>
      <c r="C28" s="3">
        <v>4178</v>
      </c>
      <c r="D28" s="4" t="s">
        <v>35</v>
      </c>
    </row>
    <row r="29" spans="2:4" ht="18" customHeight="1" x14ac:dyDescent="0.45">
      <c r="B29" s="2" t="s">
        <v>36</v>
      </c>
      <c r="C29" s="3">
        <v>0.62</v>
      </c>
      <c r="D29" s="4" t="s">
        <v>23</v>
      </c>
    </row>
    <row r="31" spans="2:4" ht="15.75" customHeight="1" x14ac:dyDescent="0.45">
      <c r="B31" s="28" t="s">
        <v>37</v>
      </c>
      <c r="C31" s="28"/>
      <c r="D31" s="28"/>
    </row>
    <row r="32" spans="2:4" ht="18" customHeight="1" x14ac:dyDescent="0.45">
      <c r="B32" s="2" t="s">
        <v>38</v>
      </c>
      <c r="C32" s="3">
        <v>9.6799999999999994E-3</v>
      </c>
      <c r="D32" s="4" t="s">
        <v>29</v>
      </c>
    </row>
    <row r="33" spans="2:4" ht="18" customHeight="1" x14ac:dyDescent="0.45">
      <c r="B33" s="2" t="s">
        <v>39</v>
      </c>
      <c r="C33" s="3">
        <v>858</v>
      </c>
      <c r="D33" s="4" t="s">
        <v>31</v>
      </c>
    </row>
    <row r="34" spans="2:4" ht="18" customHeight="1" x14ac:dyDescent="0.45">
      <c r="B34" s="2" t="s">
        <v>40</v>
      </c>
      <c r="C34" s="3">
        <v>3.95E-2</v>
      </c>
      <c r="D34" s="4" t="s">
        <v>33</v>
      </c>
    </row>
    <row r="35" spans="2:4" ht="18" customHeight="1" x14ac:dyDescent="0.45">
      <c r="B35" s="2" t="s">
        <v>41</v>
      </c>
      <c r="C35" s="3">
        <v>2200</v>
      </c>
      <c r="D35" s="4" t="s">
        <v>35</v>
      </c>
    </row>
    <row r="36" spans="2:4" ht="18" customHeight="1" x14ac:dyDescent="0.45">
      <c r="B36" s="2" t="s">
        <v>42</v>
      </c>
      <c r="C36" s="3">
        <v>0.13600000000000001</v>
      </c>
      <c r="D36" s="4" t="s">
        <v>23</v>
      </c>
    </row>
    <row r="37" spans="2:4" ht="9.75" customHeight="1" x14ac:dyDescent="0.45"/>
    <row r="38" spans="2:4" ht="21.75" customHeight="1" x14ac:dyDescent="0.45">
      <c r="B38" s="25" t="s">
        <v>43</v>
      </c>
      <c r="C38" s="25"/>
      <c r="D38" s="25"/>
    </row>
    <row r="39" spans="2:4" ht="15" customHeight="1" x14ac:dyDescent="0.45">
      <c r="B39" s="29" t="s">
        <v>44</v>
      </c>
      <c r="C39" s="29"/>
      <c r="D39" s="29"/>
    </row>
    <row r="40" spans="2:4" ht="18" customHeight="1" x14ac:dyDescent="0.45">
      <c r="B40" s="2" t="s">
        <v>45</v>
      </c>
      <c r="C40" s="5">
        <f>C8/(C10*C9)</f>
        <v>8.1587053571428569</v>
      </c>
      <c r="D40" s="4" t="s">
        <v>16</v>
      </c>
    </row>
    <row r="41" spans="2:4" ht="18" customHeight="1" x14ac:dyDescent="0.45">
      <c r="B41" s="2" t="s">
        <v>46</v>
      </c>
      <c r="C41" s="6">
        <f>CEILING(C40/C14,1)</f>
        <v>39</v>
      </c>
      <c r="D41" s="4" t="s">
        <v>47</v>
      </c>
    </row>
    <row r="42" spans="2:4" ht="18" customHeight="1" x14ac:dyDescent="0.45">
      <c r="B42" s="2" t="s">
        <v>48</v>
      </c>
      <c r="C42" s="5">
        <f>(C41+1)/2</f>
        <v>20</v>
      </c>
      <c r="D42" s="4" t="s">
        <v>47</v>
      </c>
    </row>
    <row r="43" spans="2:4" ht="18" customHeight="1" x14ac:dyDescent="0.45">
      <c r="B43" s="2" t="s">
        <v>49</v>
      </c>
      <c r="C43" s="6">
        <f>C15*C16</f>
        <v>7.7499999999999997E-4</v>
      </c>
      <c r="D43" s="4" t="s">
        <v>16</v>
      </c>
    </row>
    <row r="44" spans="2:4" ht="18" customHeight="1" x14ac:dyDescent="0.45">
      <c r="B44" s="2" t="s">
        <v>50</v>
      </c>
      <c r="C44" s="5">
        <f>4*C15*C16/(2*(C15+C16))</f>
        <v>4.96E-3</v>
      </c>
      <c r="D44" s="4" t="s">
        <v>18</v>
      </c>
    </row>
    <row r="46" spans="2:4" ht="15" customHeight="1" x14ac:dyDescent="0.45">
      <c r="B46" s="30" t="s">
        <v>51</v>
      </c>
      <c r="C46" s="30"/>
      <c r="D46" s="30"/>
    </row>
    <row r="47" spans="2:4" ht="18" customHeight="1" x14ac:dyDescent="0.45">
      <c r="B47" s="2" t="s">
        <v>52</v>
      </c>
      <c r="C47" s="5">
        <f>C25/(C42*C43)</f>
        <v>0.14157706093189965</v>
      </c>
      <c r="D47" s="4" t="s">
        <v>53</v>
      </c>
    </row>
    <row r="48" spans="2:4" ht="18" customHeight="1" x14ac:dyDescent="0.45">
      <c r="B48" s="2" t="s">
        <v>54</v>
      </c>
      <c r="C48" s="6">
        <f>C26*C47*C44/C27</f>
        <v>932.57736240913812</v>
      </c>
      <c r="D48" s="4" t="s">
        <v>47</v>
      </c>
    </row>
    <row r="49" spans="2:4" ht="18" customHeight="1" x14ac:dyDescent="0.45">
      <c r="B49" s="2" t="s">
        <v>55</v>
      </c>
      <c r="C49" s="5">
        <f>C27*C28/C29</f>
        <v>5.0472935483870973</v>
      </c>
      <c r="D49" s="4" t="s">
        <v>47</v>
      </c>
    </row>
    <row r="50" spans="2:4" ht="18" customHeight="1" x14ac:dyDescent="0.45">
      <c r="B50" s="2" t="s">
        <v>56</v>
      </c>
      <c r="C50" s="6">
        <f>0.212*(C48^0.638)*(C49^0.33)</f>
        <v>28.379460389641451</v>
      </c>
      <c r="D50" s="4" t="s">
        <v>47</v>
      </c>
    </row>
    <row r="51" spans="2:4" ht="18" customHeight="1" x14ac:dyDescent="0.45">
      <c r="B51" s="2" t="s">
        <v>57</v>
      </c>
      <c r="C51" s="5">
        <f>C50*C29/C44</f>
        <v>3547.432548705181</v>
      </c>
      <c r="D51" s="4" t="s">
        <v>11</v>
      </c>
    </row>
    <row r="53" spans="2:4" ht="15" customHeight="1" x14ac:dyDescent="0.45">
      <c r="B53" s="31" t="s">
        <v>58</v>
      </c>
      <c r="C53" s="31"/>
      <c r="D53" s="31"/>
    </row>
    <row r="54" spans="2:4" ht="18" customHeight="1" x14ac:dyDescent="0.45">
      <c r="B54" s="2" t="s">
        <v>59</v>
      </c>
      <c r="C54" s="5">
        <f>C32/(C42*C43)</f>
        <v>0.62451612903225806</v>
      </c>
      <c r="D54" s="4" t="s">
        <v>53</v>
      </c>
    </row>
    <row r="55" spans="2:4" ht="18" customHeight="1" x14ac:dyDescent="0.45">
      <c r="B55" s="2" t="s">
        <v>60</v>
      </c>
      <c r="C55" s="6">
        <f>C33*C54*C44/C34</f>
        <v>67.28457721518987</v>
      </c>
      <c r="D55" s="4" t="s">
        <v>47</v>
      </c>
    </row>
    <row r="56" spans="2:4" ht="18" customHeight="1" x14ac:dyDescent="0.45">
      <c r="B56" s="2" t="s">
        <v>61</v>
      </c>
      <c r="C56" s="5">
        <f>C34*C35/C36</f>
        <v>638.97058823529414</v>
      </c>
      <c r="D56" s="4" t="s">
        <v>47</v>
      </c>
    </row>
    <row r="57" spans="2:4" ht="18" customHeight="1" x14ac:dyDescent="0.45">
      <c r="B57" s="2" t="s">
        <v>62</v>
      </c>
      <c r="C57" s="6">
        <f>0.212*(C55^0.638)*(C56^0.33)</f>
        <v>26.203219456974452</v>
      </c>
      <c r="D57" s="4" t="s">
        <v>47</v>
      </c>
    </row>
    <row r="58" spans="2:4" ht="18" customHeight="1" x14ac:dyDescent="0.45">
      <c r="B58" s="2" t="s">
        <v>63</v>
      </c>
      <c r="C58" s="5">
        <f>C57*C36/C44</f>
        <v>718.4753722073641</v>
      </c>
      <c r="D58" s="4" t="s">
        <v>11</v>
      </c>
    </row>
    <row r="60" spans="2:4" ht="15" customHeight="1" x14ac:dyDescent="0.45">
      <c r="B60" s="32" t="s">
        <v>64</v>
      </c>
      <c r="C60" s="32"/>
      <c r="D60" s="32"/>
    </row>
    <row r="61" spans="2:4" ht="18" customHeight="1" x14ac:dyDescent="0.45">
      <c r="B61" s="2" t="s">
        <v>65</v>
      </c>
      <c r="C61" s="7">
        <f>1/C51</f>
        <v>2.8189401384530954E-4</v>
      </c>
      <c r="D61" s="4" t="s">
        <v>25</v>
      </c>
    </row>
    <row r="62" spans="2:4" ht="18" customHeight="1" x14ac:dyDescent="0.45">
      <c r="B62" s="2" t="s">
        <v>66</v>
      </c>
      <c r="C62" s="8">
        <f>1/C58</f>
        <v>1.3918361556746349E-3</v>
      </c>
      <c r="D62" s="4" t="s">
        <v>25</v>
      </c>
    </row>
    <row r="63" spans="2:4" ht="18" customHeight="1" x14ac:dyDescent="0.45">
      <c r="B63" s="2" t="s">
        <v>67</v>
      </c>
      <c r="C63" s="7">
        <f>C19/C20</f>
        <v>3.9999999999999996E-5</v>
      </c>
      <c r="D63" s="4" t="s">
        <v>25</v>
      </c>
    </row>
    <row r="64" spans="2:4" ht="18" customHeight="1" x14ac:dyDescent="0.45">
      <c r="B64" s="2" t="s">
        <v>68</v>
      </c>
      <c r="C64" s="8">
        <f>C21</f>
        <v>1E-3</v>
      </c>
      <c r="D64" s="4" t="s">
        <v>25</v>
      </c>
    </row>
    <row r="65" spans="2:4" ht="18" customHeight="1" x14ac:dyDescent="0.45">
      <c r="B65" s="2" t="s">
        <v>69</v>
      </c>
      <c r="C65" s="7">
        <f>C22</f>
        <v>8.9999999999999998E-4</v>
      </c>
      <c r="D65" s="4" t="s">
        <v>25</v>
      </c>
    </row>
    <row r="66" spans="2:4" ht="18" customHeight="1" x14ac:dyDescent="0.45">
      <c r="B66" s="9" t="s">
        <v>70</v>
      </c>
      <c r="C66" s="10">
        <f>1/C51+1/C58+C19/C20+C21+C22</f>
        <v>3.6137301695199449E-3</v>
      </c>
      <c r="D66" s="4" t="s">
        <v>25</v>
      </c>
    </row>
    <row r="67" spans="2:4" ht="18" customHeight="1" x14ac:dyDescent="0.45">
      <c r="B67" s="11" t="s">
        <v>71</v>
      </c>
      <c r="C67" s="12">
        <f>1/(1/C51+1/C58+C19/C20+C21+C22)</f>
        <v>276.72237635076169</v>
      </c>
      <c r="D67" s="4" t="s">
        <v>11</v>
      </c>
    </row>
    <row r="69" spans="2:4" ht="15" customHeight="1" x14ac:dyDescent="0.45">
      <c r="B69" s="33" t="s">
        <v>72</v>
      </c>
      <c r="C69" s="33"/>
      <c r="D69" s="33"/>
    </row>
    <row r="70" spans="2:4" ht="18" customHeight="1" x14ac:dyDescent="0.45">
      <c r="B70" s="2" t="s">
        <v>73</v>
      </c>
      <c r="C70" s="13">
        <f>ABS(C10-C67)/C10</f>
        <v>0.44655524729847662</v>
      </c>
      <c r="D70" s="4" t="s">
        <v>13</v>
      </c>
    </row>
    <row r="71" spans="2:4" ht="24" customHeight="1" x14ac:dyDescent="0.45">
      <c r="B71" s="34" t="str">
        <f>IF(C70&lt;C11/100,"✅ CONVERGÉ — Erreur &lt; "&amp;TEXT(C11,"0")&amp;"% — H_global = "&amp;TEXT(C67,"0.0")&amp;" W/m²K","❌ NON CONVERGÉ ("&amp;TEXT(C70,"00,0%")&amp;") — Relancer avec H = "&amp;TEXT(C67,"000,0")&amp;" W/m²K")</f>
        <v>❌ NON CONVERGÉ (44,7%) — Relancer avec H = 276,7 W/m²K</v>
      </c>
      <c r="C71" s="34"/>
      <c r="D71" s="34"/>
    </row>
    <row r="72" spans="2:4" ht="9.75" customHeight="1" x14ac:dyDescent="0.45"/>
    <row r="73" spans="2:4" ht="21.75" customHeight="1" x14ac:dyDescent="0.45">
      <c r="B73" s="35" t="s">
        <v>74</v>
      </c>
      <c r="C73" s="35"/>
      <c r="D73" s="35"/>
    </row>
    <row r="74" spans="2:4" ht="15" customHeight="1" x14ac:dyDescent="0.45">
      <c r="B74" s="29" t="s">
        <v>44</v>
      </c>
      <c r="C74" s="29"/>
      <c r="D74" s="29"/>
    </row>
    <row r="75" spans="2:4" ht="18" customHeight="1" x14ac:dyDescent="0.45">
      <c r="B75" s="2" t="s">
        <v>45</v>
      </c>
      <c r="C75" s="5">
        <f>C8/(C67*C9)</f>
        <v>14.741679846665567</v>
      </c>
      <c r="D75" s="4" t="s">
        <v>16</v>
      </c>
    </row>
    <row r="76" spans="2:4" ht="18" customHeight="1" x14ac:dyDescent="0.45">
      <c r="B76" s="2" t="s">
        <v>46</v>
      </c>
      <c r="C76" s="6">
        <f>CEILING(C75/C14,1)</f>
        <v>71</v>
      </c>
      <c r="D76" s="4" t="s">
        <v>47</v>
      </c>
    </row>
    <row r="77" spans="2:4" ht="18" customHeight="1" x14ac:dyDescent="0.45">
      <c r="B77" s="2" t="s">
        <v>48</v>
      </c>
      <c r="C77" s="5">
        <f>(C76+1)/2</f>
        <v>36</v>
      </c>
      <c r="D77" s="4" t="s">
        <v>47</v>
      </c>
    </row>
    <row r="78" spans="2:4" ht="18" customHeight="1" x14ac:dyDescent="0.45">
      <c r="B78" s="2" t="s">
        <v>49</v>
      </c>
      <c r="C78" s="6">
        <f>C15*C16</f>
        <v>7.7499999999999997E-4</v>
      </c>
      <c r="D78" s="4" t="s">
        <v>16</v>
      </c>
    </row>
    <row r="79" spans="2:4" ht="18" customHeight="1" x14ac:dyDescent="0.45">
      <c r="B79" s="2" t="s">
        <v>50</v>
      </c>
      <c r="C79" s="5">
        <f>4*C15*C16/(2*(C15+C16))</f>
        <v>4.96E-3</v>
      </c>
      <c r="D79" s="4" t="s">
        <v>18</v>
      </c>
    </row>
    <row r="81" spans="2:4" ht="15" customHeight="1" x14ac:dyDescent="0.45">
      <c r="B81" s="30" t="s">
        <v>51</v>
      </c>
      <c r="C81" s="30"/>
      <c r="D81" s="30"/>
    </row>
    <row r="82" spans="2:4" ht="18" customHeight="1" x14ac:dyDescent="0.45">
      <c r="B82" s="2" t="s">
        <v>52</v>
      </c>
      <c r="C82" s="5">
        <f>C25/(C77*C78)</f>
        <v>7.865392273994426E-2</v>
      </c>
      <c r="D82" s="4" t="s">
        <v>53</v>
      </c>
    </row>
    <row r="83" spans="2:4" ht="18" customHeight="1" x14ac:dyDescent="0.45">
      <c r="B83" s="2" t="s">
        <v>54</v>
      </c>
      <c r="C83" s="6">
        <f>C26*C82*C79/C27</f>
        <v>518.09853467174344</v>
      </c>
      <c r="D83" s="4" t="s">
        <v>47</v>
      </c>
    </row>
    <row r="84" spans="2:4" ht="18" customHeight="1" x14ac:dyDescent="0.45">
      <c r="B84" s="2" t="s">
        <v>55</v>
      </c>
      <c r="C84" s="5">
        <f>C27*C28/C29</f>
        <v>5.0472935483870973</v>
      </c>
      <c r="D84" s="4" t="s">
        <v>47</v>
      </c>
    </row>
    <row r="85" spans="2:4" ht="18" customHeight="1" x14ac:dyDescent="0.45">
      <c r="B85" s="2" t="s">
        <v>56</v>
      </c>
      <c r="C85" s="6">
        <f>0.212*(C83^0.638)*(C84^0.33)</f>
        <v>19.504744927570979</v>
      </c>
      <c r="D85" s="4" t="s">
        <v>47</v>
      </c>
    </row>
    <row r="86" spans="2:4" ht="18" customHeight="1" x14ac:dyDescent="0.45">
      <c r="B86" s="2" t="s">
        <v>57</v>
      </c>
      <c r="C86" s="5">
        <f>C85*C29/C79</f>
        <v>2438.0931159463721</v>
      </c>
      <c r="D86" s="4" t="s">
        <v>11</v>
      </c>
    </row>
    <row r="88" spans="2:4" ht="15" customHeight="1" x14ac:dyDescent="0.45">
      <c r="B88" s="31" t="s">
        <v>58</v>
      </c>
      <c r="C88" s="31"/>
      <c r="D88" s="31"/>
    </row>
    <row r="89" spans="2:4" ht="18" customHeight="1" x14ac:dyDescent="0.45">
      <c r="B89" s="2" t="s">
        <v>59</v>
      </c>
      <c r="C89" s="5">
        <f>C32/(C77*C78)</f>
        <v>0.34695340501792116</v>
      </c>
      <c r="D89" s="4" t="s">
        <v>53</v>
      </c>
    </row>
    <row r="90" spans="2:4" ht="18" customHeight="1" x14ac:dyDescent="0.45">
      <c r="B90" s="2" t="s">
        <v>60</v>
      </c>
      <c r="C90" s="6">
        <f>C33*C89*C79/C34</f>
        <v>37.380320675105487</v>
      </c>
      <c r="D90" s="4" t="s">
        <v>47</v>
      </c>
    </row>
    <row r="91" spans="2:4" ht="18" customHeight="1" x14ac:dyDescent="0.45">
      <c r="B91" s="2" t="s">
        <v>61</v>
      </c>
      <c r="C91" s="5">
        <f>C34*C35/C36</f>
        <v>638.97058823529414</v>
      </c>
      <c r="D91" s="4" t="s">
        <v>47</v>
      </c>
    </row>
    <row r="92" spans="2:4" ht="18" customHeight="1" x14ac:dyDescent="0.45">
      <c r="B92" s="2" t="s">
        <v>62</v>
      </c>
      <c r="C92" s="6">
        <f>0.212*(C90^0.638)*(C91^0.33)</f>
        <v>18.009049670866862</v>
      </c>
      <c r="D92" s="4" t="s">
        <v>47</v>
      </c>
    </row>
    <row r="93" spans="2:4" ht="18" customHeight="1" x14ac:dyDescent="0.45">
      <c r="B93" s="2" t="s">
        <v>63</v>
      </c>
      <c r="C93" s="5">
        <f>C92*C36/C79</f>
        <v>493.79652323344629</v>
      </c>
      <c r="D93" s="4" t="s">
        <v>11</v>
      </c>
    </row>
    <row r="95" spans="2:4" ht="15" customHeight="1" x14ac:dyDescent="0.45">
      <c r="B95" s="32" t="s">
        <v>64</v>
      </c>
      <c r="C95" s="32"/>
      <c r="D95" s="32"/>
    </row>
    <row r="96" spans="2:4" ht="18" customHeight="1" x14ac:dyDescent="0.45">
      <c r="B96" s="2" t="s">
        <v>65</v>
      </c>
      <c r="C96" s="7">
        <f>1/C86</f>
        <v>4.1015660700548722E-4</v>
      </c>
      <c r="D96" s="4" t="s">
        <v>25</v>
      </c>
    </row>
    <row r="97" spans="2:4" ht="18" customHeight="1" x14ac:dyDescent="0.45">
      <c r="B97" s="2" t="s">
        <v>66</v>
      </c>
      <c r="C97" s="8">
        <f>1/C93</f>
        <v>2.025125639710594E-3</v>
      </c>
      <c r="D97" s="4" t="s">
        <v>25</v>
      </c>
    </row>
    <row r="98" spans="2:4" ht="18" customHeight="1" x14ac:dyDescent="0.45">
      <c r="B98" s="2" t="s">
        <v>67</v>
      </c>
      <c r="C98" s="7">
        <f>C19/C20</f>
        <v>3.9999999999999996E-5</v>
      </c>
      <c r="D98" s="4" t="s">
        <v>25</v>
      </c>
    </row>
    <row r="99" spans="2:4" ht="18" customHeight="1" x14ac:dyDescent="0.45">
      <c r="B99" s="2" t="s">
        <v>68</v>
      </c>
      <c r="C99" s="8">
        <f>C21</f>
        <v>1E-3</v>
      </c>
      <c r="D99" s="4" t="s">
        <v>25</v>
      </c>
    </row>
    <row r="100" spans="2:4" ht="18" customHeight="1" x14ac:dyDescent="0.45">
      <c r="B100" s="2" t="s">
        <v>69</v>
      </c>
      <c r="C100" s="7">
        <f>C22</f>
        <v>8.9999999999999998E-4</v>
      </c>
      <c r="D100" s="4" t="s">
        <v>25</v>
      </c>
    </row>
    <row r="101" spans="2:4" ht="18" customHeight="1" x14ac:dyDescent="0.45">
      <c r="B101" s="9" t="s">
        <v>70</v>
      </c>
      <c r="C101" s="10">
        <f>1/C86+1/C93+C19/C20+C21+C22</f>
        <v>4.375282246716081E-3</v>
      </c>
      <c r="D101" s="4" t="s">
        <v>25</v>
      </c>
    </row>
    <row r="102" spans="2:4" ht="18" customHeight="1" x14ac:dyDescent="0.45">
      <c r="B102" s="11" t="s">
        <v>71</v>
      </c>
      <c r="C102" s="12">
        <f>1/(1/C86+1/C93+C19/C20+C21+C22)</f>
        <v>228.55668357179965</v>
      </c>
      <c r="D102" s="4" t="s">
        <v>11</v>
      </c>
    </row>
    <row r="104" spans="2:4" ht="15" customHeight="1" x14ac:dyDescent="0.45">
      <c r="B104" s="33" t="s">
        <v>72</v>
      </c>
      <c r="C104" s="33"/>
      <c r="D104" s="33"/>
    </row>
    <row r="105" spans="2:4" ht="18" customHeight="1" x14ac:dyDescent="0.45">
      <c r="B105" s="2" t="s">
        <v>73</v>
      </c>
      <c r="C105" s="13">
        <f>ABS(C67-C102)/C67</f>
        <v>0.17405781713116408</v>
      </c>
      <c r="D105" s="4" t="s">
        <v>13</v>
      </c>
    </row>
    <row r="106" spans="2:4" ht="24" customHeight="1" x14ac:dyDescent="0.45">
      <c r="B106" s="34" t="str">
        <f>IF(C105&lt;C11/100,"✅ CONVERGÉ — Erreur &lt; "&amp;TEXT(C11,"0")&amp;"% — H_global = "&amp;TEXT(C102,"0.0")&amp;" W/m²K","❌ NON CONVERGÉ ("&amp;TEXT(C105,"00.00%")&amp;") — Relancer avec H = "&amp;TEXT(C102,"000,0")&amp;" W/m²K")</f>
        <v>❌ NON CONVERGÉ (00.17%) — Relancer avec H = 228,6 W/m²K</v>
      </c>
      <c r="C106" s="34"/>
      <c r="D106" s="34"/>
    </row>
    <row r="107" spans="2:4" ht="9.75" customHeight="1" x14ac:dyDescent="0.45"/>
    <row r="108" spans="2:4" ht="21.75" customHeight="1" x14ac:dyDescent="0.45">
      <c r="B108" s="21" t="s">
        <v>75</v>
      </c>
      <c r="C108" s="21"/>
      <c r="D108" s="21"/>
    </row>
    <row r="109" spans="2:4" ht="15" customHeight="1" x14ac:dyDescent="0.45">
      <c r="B109" s="29" t="s">
        <v>44</v>
      </c>
      <c r="C109" s="29"/>
      <c r="D109" s="29"/>
    </row>
    <row r="110" spans="2:4" ht="18" customHeight="1" x14ac:dyDescent="0.45">
      <c r="B110" s="2" t="s">
        <v>45</v>
      </c>
      <c r="C110" s="5">
        <f>C8/(C102*C9)</f>
        <v>17.848319352647263</v>
      </c>
      <c r="D110" s="4" t="s">
        <v>16</v>
      </c>
    </row>
    <row r="111" spans="2:4" ht="18" customHeight="1" x14ac:dyDescent="0.45">
      <c r="B111" s="2" t="s">
        <v>46</v>
      </c>
      <c r="C111" s="6">
        <f>CEILING(C110/C14,1)</f>
        <v>85</v>
      </c>
      <c r="D111" s="4" t="s">
        <v>47</v>
      </c>
    </row>
    <row r="112" spans="2:4" ht="18" customHeight="1" x14ac:dyDescent="0.45">
      <c r="B112" s="2" t="s">
        <v>48</v>
      </c>
      <c r="C112" s="5">
        <f>(C111+1)/2</f>
        <v>43</v>
      </c>
      <c r="D112" s="4" t="s">
        <v>47</v>
      </c>
    </row>
    <row r="113" spans="2:4" ht="18" customHeight="1" x14ac:dyDescent="0.45">
      <c r="B113" s="2" t="s">
        <v>49</v>
      </c>
      <c r="C113" s="6">
        <f>C15*C16</f>
        <v>7.7499999999999997E-4</v>
      </c>
      <c r="D113" s="4" t="s">
        <v>16</v>
      </c>
    </row>
    <row r="114" spans="2:4" ht="18" customHeight="1" x14ac:dyDescent="0.45">
      <c r="B114" s="2" t="s">
        <v>50</v>
      </c>
      <c r="C114" s="5">
        <f>4*C15*C16/(2*(C15+C16))</f>
        <v>4.96E-3</v>
      </c>
      <c r="D114" s="4" t="s">
        <v>18</v>
      </c>
    </row>
    <row r="116" spans="2:4" ht="15" customHeight="1" x14ac:dyDescent="0.45">
      <c r="B116" s="30" t="s">
        <v>51</v>
      </c>
      <c r="C116" s="30"/>
      <c r="D116" s="30"/>
    </row>
    <row r="117" spans="2:4" ht="18" customHeight="1" x14ac:dyDescent="0.45">
      <c r="B117" s="2" t="s">
        <v>52</v>
      </c>
      <c r="C117" s="5">
        <f>C25/(C112*C113)</f>
        <v>6.5849795782278911E-2</v>
      </c>
      <c r="D117" s="4" t="s">
        <v>53</v>
      </c>
    </row>
    <row r="118" spans="2:4" ht="18" customHeight="1" x14ac:dyDescent="0.45">
      <c r="B118" s="2" t="s">
        <v>54</v>
      </c>
      <c r="C118" s="6">
        <f>C26*C117*C114/C27</f>
        <v>433.75691274843632</v>
      </c>
      <c r="D118" s="4" t="s">
        <v>47</v>
      </c>
    </row>
    <row r="119" spans="2:4" ht="18" customHeight="1" x14ac:dyDescent="0.45">
      <c r="B119" s="2" t="s">
        <v>55</v>
      </c>
      <c r="C119" s="5">
        <f>C27*C28/C29</f>
        <v>5.0472935483870973</v>
      </c>
      <c r="D119" s="4" t="s">
        <v>47</v>
      </c>
    </row>
    <row r="120" spans="2:4" ht="18" customHeight="1" x14ac:dyDescent="0.45">
      <c r="B120" s="2" t="s">
        <v>56</v>
      </c>
      <c r="C120" s="6">
        <f>0.212*(C118^0.638)*(C119^0.33)</f>
        <v>17.414395199628046</v>
      </c>
      <c r="D120" s="4" t="s">
        <v>47</v>
      </c>
    </row>
    <row r="121" spans="2:4" ht="18" customHeight="1" x14ac:dyDescent="0.45">
      <c r="B121" s="2" t="s">
        <v>57</v>
      </c>
      <c r="C121" s="5">
        <f>C120*C29/C114</f>
        <v>2176.7993999535056</v>
      </c>
      <c r="D121" s="4" t="s">
        <v>11</v>
      </c>
    </row>
    <row r="123" spans="2:4" ht="15" customHeight="1" x14ac:dyDescent="0.45">
      <c r="B123" s="31" t="s">
        <v>58</v>
      </c>
      <c r="C123" s="31"/>
      <c r="D123" s="31"/>
    </row>
    <row r="124" spans="2:4" ht="18" customHeight="1" x14ac:dyDescent="0.45">
      <c r="B124" s="2" t="s">
        <v>59</v>
      </c>
      <c r="C124" s="5">
        <f>C32/(C112*C113)</f>
        <v>0.29047261815453862</v>
      </c>
      <c r="D124" s="4" t="s">
        <v>53</v>
      </c>
    </row>
    <row r="125" spans="2:4" ht="18" customHeight="1" x14ac:dyDescent="0.45">
      <c r="B125" s="2" t="s">
        <v>60</v>
      </c>
      <c r="C125" s="6">
        <f>C33*C124*C114/C34</f>
        <v>31.295152193111566</v>
      </c>
      <c r="D125" s="4" t="s">
        <v>47</v>
      </c>
    </row>
    <row r="126" spans="2:4" ht="18" customHeight="1" x14ac:dyDescent="0.45">
      <c r="B126" s="2" t="s">
        <v>61</v>
      </c>
      <c r="C126" s="5">
        <f>C34*C35/C36</f>
        <v>638.97058823529414</v>
      </c>
      <c r="D126" s="4" t="s">
        <v>47</v>
      </c>
    </row>
    <row r="127" spans="2:4" ht="18" customHeight="1" x14ac:dyDescent="0.45">
      <c r="B127" s="2" t="s">
        <v>62</v>
      </c>
      <c r="C127" s="6">
        <f>0.212*(C125^0.638)*(C126^0.33)</f>
        <v>16.078995613774641</v>
      </c>
      <c r="D127" s="4" t="s">
        <v>47</v>
      </c>
    </row>
    <row r="128" spans="2:4" ht="18" customHeight="1" x14ac:dyDescent="0.45">
      <c r="B128" s="2" t="s">
        <v>63</v>
      </c>
      <c r="C128" s="5">
        <f>C127*C36/C114</f>
        <v>440.87568618414343</v>
      </c>
      <c r="D128" s="4" t="s">
        <v>11</v>
      </c>
    </row>
    <row r="130" spans="2:4" ht="15" customHeight="1" x14ac:dyDescent="0.45">
      <c r="B130" s="32" t="s">
        <v>64</v>
      </c>
      <c r="C130" s="32"/>
      <c r="D130" s="32"/>
    </row>
    <row r="131" spans="2:4" ht="18" customHeight="1" x14ac:dyDescent="0.45">
      <c r="B131" s="2" t="s">
        <v>65</v>
      </c>
      <c r="C131" s="7">
        <f>1/C121</f>
        <v>4.593900568060424E-4</v>
      </c>
      <c r="D131" s="4" t="s">
        <v>25</v>
      </c>
    </row>
    <row r="132" spans="2:4" ht="18" customHeight="1" x14ac:dyDescent="0.45">
      <c r="B132" s="2" t="s">
        <v>66</v>
      </c>
      <c r="C132" s="8">
        <f>1/C128</f>
        <v>2.2682130844074795E-3</v>
      </c>
      <c r="D132" s="4" t="s">
        <v>25</v>
      </c>
    </row>
    <row r="133" spans="2:4" ht="18" customHeight="1" x14ac:dyDescent="0.45">
      <c r="B133" s="2" t="s">
        <v>67</v>
      </c>
      <c r="C133" s="7">
        <f>C19/C20</f>
        <v>3.9999999999999996E-5</v>
      </c>
      <c r="D133" s="4" t="s">
        <v>25</v>
      </c>
    </row>
    <row r="134" spans="2:4" ht="18" customHeight="1" x14ac:dyDescent="0.45">
      <c r="B134" s="2" t="s">
        <v>68</v>
      </c>
      <c r="C134" s="8">
        <f>C21</f>
        <v>1E-3</v>
      </c>
      <c r="D134" s="4" t="s">
        <v>25</v>
      </c>
    </row>
    <row r="135" spans="2:4" ht="18" customHeight="1" x14ac:dyDescent="0.45">
      <c r="B135" s="2" t="s">
        <v>69</v>
      </c>
      <c r="C135" s="7">
        <f>C22</f>
        <v>8.9999999999999998E-4</v>
      </c>
      <c r="D135" s="4" t="s">
        <v>25</v>
      </c>
    </row>
    <row r="136" spans="2:4" ht="18" customHeight="1" x14ac:dyDescent="0.45">
      <c r="B136" s="9" t="s">
        <v>70</v>
      </c>
      <c r="C136" s="10">
        <f>1/C121+1/C128+C19/C20+C21+C22</f>
        <v>4.667603141213522E-3</v>
      </c>
      <c r="D136" s="4" t="s">
        <v>25</v>
      </c>
    </row>
    <row r="137" spans="2:4" ht="18" customHeight="1" x14ac:dyDescent="0.45">
      <c r="B137" s="11" t="s">
        <v>71</v>
      </c>
      <c r="C137" s="12">
        <f>1/(1/C121+1/C128+C19/C20+C21+C22)</f>
        <v>214.24272153095083</v>
      </c>
      <c r="D137" s="4" t="s">
        <v>11</v>
      </c>
    </row>
    <row r="139" spans="2:4" ht="15" customHeight="1" x14ac:dyDescent="0.45">
      <c r="B139" s="33" t="s">
        <v>72</v>
      </c>
      <c r="C139" s="33"/>
      <c r="D139" s="33"/>
    </row>
    <row r="140" spans="2:4" ht="18" customHeight="1" x14ac:dyDescent="0.45">
      <c r="B140" s="2" t="s">
        <v>73</v>
      </c>
      <c r="C140" s="13">
        <f>ABS(C102-C137)/C102</f>
        <v>6.2627623997493734E-2</v>
      </c>
      <c r="D140" s="4" t="s">
        <v>13</v>
      </c>
    </row>
    <row r="141" spans="2:4" ht="24" customHeight="1" x14ac:dyDescent="0.45">
      <c r="B141" s="34" t="str">
        <f>IF(C140&lt;C11/100,"✅ CONVERGÉ — Erreur &lt; "&amp;TEXT(C11,"0,00")&amp;"% — H_global = "&amp;TEXT(C137,"000")&amp;" W/m²K","❌ NON CONVERGÉ ("&amp;TEXT(C140,"0,00%")&amp;") — Relancer avec H = "&amp;TEXT(C137,"00")&amp;" W/m²K")</f>
        <v>❌ NON CONVERGÉ (6,26%) — Relancer avec H = 214 W/m²K</v>
      </c>
      <c r="C141" s="34"/>
      <c r="D141" s="34"/>
    </row>
    <row r="142" spans="2:4" ht="21.75" customHeight="1" x14ac:dyDescent="0.45">
      <c r="B142" s="36" t="s">
        <v>76</v>
      </c>
      <c r="C142" s="36"/>
      <c r="D142" s="36"/>
    </row>
    <row r="143" spans="2:4" ht="15" customHeight="1" x14ac:dyDescent="0.45">
      <c r="B143" s="29" t="s">
        <v>44</v>
      </c>
      <c r="C143" s="29"/>
      <c r="D143" s="29"/>
    </row>
    <row r="144" spans="2:4" ht="18" customHeight="1" x14ac:dyDescent="0.45">
      <c r="B144" s="2" t="s">
        <v>45</v>
      </c>
      <c r="C144" s="5">
        <f>C8/(C137*C9)</f>
        <v>19.040799376617795</v>
      </c>
      <c r="D144" s="4" t="s">
        <v>16</v>
      </c>
    </row>
    <row r="145" spans="2:4" ht="18" customHeight="1" x14ac:dyDescent="0.45">
      <c r="B145" s="2" t="s">
        <v>46</v>
      </c>
      <c r="C145" s="6">
        <f>CEILING(C144/C14,1)</f>
        <v>91</v>
      </c>
      <c r="D145" s="4" t="s">
        <v>47</v>
      </c>
    </row>
    <row r="146" spans="2:4" ht="18" customHeight="1" x14ac:dyDescent="0.45">
      <c r="B146" s="2" t="s">
        <v>48</v>
      </c>
      <c r="C146" s="5">
        <f>(C145+1)/2</f>
        <v>46</v>
      </c>
      <c r="D146" s="4" t="s">
        <v>47</v>
      </c>
    </row>
    <row r="147" spans="2:4" ht="18" customHeight="1" x14ac:dyDescent="0.45">
      <c r="B147" s="2" t="s">
        <v>49</v>
      </c>
      <c r="C147" s="6">
        <f>C15*C16</f>
        <v>7.7499999999999997E-4</v>
      </c>
      <c r="D147" s="4" t="s">
        <v>16</v>
      </c>
    </row>
    <row r="148" spans="2:4" ht="18" customHeight="1" x14ac:dyDescent="0.45">
      <c r="B148" s="38" t="s">
        <v>50</v>
      </c>
      <c r="C148" s="38">
        <f>4*C15*C16/(2*(C15+C16))</f>
        <v>4.96E-3</v>
      </c>
      <c r="D148" s="38" t="s">
        <v>18</v>
      </c>
    </row>
    <row r="150" spans="2:4" ht="15" customHeight="1" x14ac:dyDescent="0.45">
      <c r="B150" s="30" t="s">
        <v>51</v>
      </c>
      <c r="C150" s="30"/>
      <c r="D150" s="30"/>
    </row>
    <row r="151" spans="2:4" ht="18" customHeight="1" x14ac:dyDescent="0.45">
      <c r="B151" s="2" t="s">
        <v>52</v>
      </c>
      <c r="C151" s="5">
        <f>C25/(C146*C147)</f>
        <v>6.1555243883434627E-2</v>
      </c>
      <c r="D151" s="4" t="s">
        <v>53</v>
      </c>
    </row>
    <row r="152" spans="2:4" ht="18" customHeight="1" x14ac:dyDescent="0.45">
      <c r="B152" s="2" t="s">
        <v>54</v>
      </c>
      <c r="C152" s="6">
        <f>C26*C151*C148/C27</f>
        <v>405.46841843875575</v>
      </c>
      <c r="D152" s="4" t="s">
        <v>47</v>
      </c>
    </row>
    <row r="153" spans="2:4" ht="18" customHeight="1" x14ac:dyDescent="0.45">
      <c r="B153" s="2" t="s">
        <v>55</v>
      </c>
      <c r="C153" s="5">
        <f>C27*C28/C29</f>
        <v>5.0472935483870973</v>
      </c>
      <c r="D153" s="4" t="s">
        <v>47</v>
      </c>
    </row>
    <row r="154" spans="2:4" ht="18" customHeight="1" x14ac:dyDescent="0.45">
      <c r="B154" s="2" t="s">
        <v>56</v>
      </c>
      <c r="C154" s="6">
        <f>0.212*(C152^0.638)*(C153^0.33)</f>
        <v>16.680988159695499</v>
      </c>
      <c r="D154" s="4" t="s">
        <v>47</v>
      </c>
    </row>
    <row r="155" spans="2:4" ht="18" customHeight="1" x14ac:dyDescent="0.45">
      <c r="B155" s="2" t="s">
        <v>57</v>
      </c>
      <c r="C155" s="5">
        <f>C154*C29/C148</f>
        <v>2085.1235199619373</v>
      </c>
      <c r="D155" s="4" t="s">
        <v>11</v>
      </c>
    </row>
    <row r="157" spans="2:4" ht="15" customHeight="1" x14ac:dyDescent="0.45">
      <c r="B157" s="31" t="s">
        <v>58</v>
      </c>
      <c r="C157" s="31"/>
      <c r="D157" s="31"/>
    </row>
    <row r="158" spans="2:4" ht="18" customHeight="1" x14ac:dyDescent="0.45">
      <c r="B158" s="2" t="s">
        <v>59</v>
      </c>
      <c r="C158" s="5">
        <f>C32/(C146*C147)</f>
        <v>0.27152875175315566</v>
      </c>
      <c r="D158" s="4" t="s">
        <v>53</v>
      </c>
    </row>
    <row r="159" spans="2:4" ht="18" customHeight="1" x14ac:dyDescent="0.45">
      <c r="B159" s="2" t="s">
        <v>60</v>
      </c>
      <c r="C159" s="6">
        <f>C33*C158*C148/C34</f>
        <v>29.254164006604288</v>
      </c>
      <c r="D159" s="4" t="s">
        <v>47</v>
      </c>
    </row>
    <row r="160" spans="2:4" ht="18" customHeight="1" x14ac:dyDescent="0.45">
      <c r="B160" s="2" t="s">
        <v>61</v>
      </c>
      <c r="C160" s="5">
        <f>C34*C35/C36</f>
        <v>638.97058823529414</v>
      </c>
      <c r="D160" s="4" t="s">
        <v>47</v>
      </c>
    </row>
    <row r="161" spans="2:4" ht="18" customHeight="1" x14ac:dyDescent="0.45">
      <c r="B161" s="2" t="s">
        <v>62</v>
      </c>
      <c r="C161" s="6">
        <f>0.212*(C159^0.638)*(C160^0.33)</f>
        <v>15.401828910997688</v>
      </c>
      <c r="D161" s="4" t="s">
        <v>47</v>
      </c>
    </row>
    <row r="162" spans="2:4" ht="18" customHeight="1" x14ac:dyDescent="0.45">
      <c r="B162" s="2" t="s">
        <v>63</v>
      </c>
      <c r="C162" s="5">
        <f>C161*C36/C148</f>
        <v>422.30821207574309</v>
      </c>
      <c r="D162" s="4" t="s">
        <v>11</v>
      </c>
    </row>
    <row r="164" spans="2:4" ht="15" customHeight="1" x14ac:dyDescent="0.45">
      <c r="B164" s="32" t="s">
        <v>64</v>
      </c>
      <c r="C164" s="32"/>
      <c r="D164" s="32"/>
    </row>
    <row r="165" spans="2:4" ht="18" customHeight="1" x14ac:dyDescent="0.45">
      <c r="B165" s="2" t="s">
        <v>65</v>
      </c>
      <c r="C165" s="7">
        <f>1/C155</f>
        <v>4.7958789511820115E-4</v>
      </c>
      <c r="D165" s="4" t="s">
        <v>25</v>
      </c>
    </row>
    <row r="166" spans="2:4" ht="18" customHeight="1" x14ac:dyDescent="0.45">
      <c r="B166" s="2" t="s">
        <v>66</v>
      </c>
      <c r="C166" s="8">
        <f>1/C162</f>
        <v>2.3679387977912328E-3</v>
      </c>
      <c r="D166" s="4" t="s">
        <v>25</v>
      </c>
    </row>
    <row r="167" spans="2:4" ht="18" customHeight="1" x14ac:dyDescent="0.45">
      <c r="B167" s="2" t="s">
        <v>67</v>
      </c>
      <c r="C167" s="7">
        <f>C19/C20</f>
        <v>3.9999999999999996E-5</v>
      </c>
      <c r="D167" s="4" t="s">
        <v>25</v>
      </c>
    </row>
    <row r="168" spans="2:4" ht="18" customHeight="1" x14ac:dyDescent="0.45">
      <c r="B168" s="2" t="s">
        <v>68</v>
      </c>
      <c r="C168" s="8">
        <f>C21</f>
        <v>1E-3</v>
      </c>
      <c r="D168" s="4" t="s">
        <v>25</v>
      </c>
    </row>
    <row r="169" spans="2:4" ht="18" customHeight="1" x14ac:dyDescent="0.45">
      <c r="B169" s="2" t="s">
        <v>69</v>
      </c>
      <c r="C169" s="7">
        <f>C22</f>
        <v>8.9999999999999998E-4</v>
      </c>
      <c r="D169" s="4" t="s">
        <v>25</v>
      </c>
    </row>
    <row r="170" spans="2:4" ht="18" customHeight="1" x14ac:dyDescent="0.45">
      <c r="B170" s="9" t="s">
        <v>70</v>
      </c>
      <c r="C170" s="10">
        <f>1/C155+1/C162+C19/C20+C21+C22</f>
        <v>4.7875266929094341E-3</v>
      </c>
      <c r="D170" s="4" t="s">
        <v>25</v>
      </c>
    </row>
    <row r="171" spans="2:4" ht="18" customHeight="1" x14ac:dyDescent="0.45">
      <c r="B171" s="11" t="s">
        <v>71</v>
      </c>
      <c r="C171" s="12">
        <f>1/(1/C155+1/C162+C19/C20+C21+C22)</f>
        <v>208.87611999762839</v>
      </c>
      <c r="D171" s="4" t="s">
        <v>11</v>
      </c>
    </row>
    <row r="173" spans="2:4" ht="15" customHeight="1" x14ac:dyDescent="0.45">
      <c r="B173" s="33" t="s">
        <v>72</v>
      </c>
      <c r="C173" s="33"/>
      <c r="D173" s="33"/>
    </row>
    <row r="174" spans="2:4" ht="18" customHeight="1" x14ac:dyDescent="0.45">
      <c r="B174" s="2" t="s">
        <v>73</v>
      </c>
      <c r="C174" s="13">
        <f>ABS(C137-C171)/C137</f>
        <v>2.5049166174577114E-2</v>
      </c>
      <c r="D174" s="4" t="s">
        <v>13</v>
      </c>
    </row>
    <row r="175" spans="2:4" ht="24" customHeight="1" x14ac:dyDescent="0.45">
      <c r="B175" s="34" t="str">
        <f>IF(C174&lt;C11/100,"✅ CONVERGÉ — Erreur &lt; "&amp;TEXT(C11,"0")&amp;"% — H_global = "&amp;TEXT(C171,"0")&amp;" W/m²K  |  S = "&amp;TEXT(C8/(C171*C9),"00")&amp;" m²  |  N = "&amp;TEXT(CEILING(C8/(C171*C9*C14),1),"0")&amp;" plaques","❌ NON CONVERGÉ ("&amp;TEXT(C174*100,"0.0")&amp;"%) — Relancer avec H = "&amp;TEXT(C171/10,"0.0")&amp;" W/m²K")</f>
        <v>✅ CONVERGÉ — Erreur &lt; 5% — H_global = 209 W/m²K  |  S = 20 m²  |  N = 94 plaques</v>
      </c>
      <c r="C175" s="34"/>
      <c r="D175" s="34"/>
    </row>
    <row r="178" spans="2:4" x14ac:dyDescent="0.45">
      <c r="B178" s="14" t="s">
        <v>77</v>
      </c>
      <c r="C178" s="15"/>
      <c r="D178" s="15"/>
    </row>
    <row r="179" spans="2:4" x14ac:dyDescent="0.45">
      <c r="B179" s="1" t="s">
        <v>78</v>
      </c>
      <c r="C179" s="1" t="s">
        <v>79</v>
      </c>
      <c r="D179" s="1" t="s">
        <v>80</v>
      </c>
    </row>
    <row r="180" spans="2:4" x14ac:dyDescent="0.45">
      <c r="B180" s="16" t="s">
        <v>81</v>
      </c>
      <c r="C180" s="17">
        <f>C67</f>
        <v>276.72237635076169</v>
      </c>
      <c r="D180" s="18">
        <f>C70</f>
        <v>0.44655524729847662</v>
      </c>
    </row>
    <row r="181" spans="2:4" x14ac:dyDescent="0.45">
      <c r="B181" s="16" t="s">
        <v>82</v>
      </c>
      <c r="C181" s="17">
        <f>C102</f>
        <v>228.55668357179965</v>
      </c>
      <c r="D181" s="18">
        <f>C105</f>
        <v>0.17405781713116408</v>
      </c>
    </row>
    <row r="182" spans="2:4" x14ac:dyDescent="0.45">
      <c r="B182" s="16" t="s">
        <v>83</v>
      </c>
      <c r="C182" s="17">
        <f>C137</f>
        <v>214.24272153095083</v>
      </c>
      <c r="D182" s="18">
        <f>C140</f>
        <v>6.2627623997493734E-2</v>
      </c>
    </row>
    <row r="183" spans="2:4" ht="18" customHeight="1" x14ac:dyDescent="0.45">
      <c r="B183" s="16" t="s">
        <v>84</v>
      </c>
      <c r="C183" s="17">
        <f>C171</f>
        <v>208.87611999762839</v>
      </c>
      <c r="D183" s="18">
        <f>C174</f>
        <v>2.5049166174577114E-2</v>
      </c>
    </row>
    <row r="184" spans="2:4" x14ac:dyDescent="0.45">
      <c r="B184" s="37" t="str">
        <f>IF(C174&lt;C11/100,"CONVERGE H="&amp;TEXT(C171,"0.0")&amp;" W/m2K  S="&amp;TEXT(C8/(C171*C9),"0.00")&amp;" m2  N="&amp;TEXT(CEILING(C8/(C171*C9*C14),1),"0")&amp;" plaques","NON CONVERGE - Relancer H="&amp;TEXT(C171," ")&amp;" W/m2K")</f>
        <v>CONVERGE H=20.9 W/m2K  S=0.20 m2  N=94 plaques</v>
      </c>
      <c r="C184" s="37"/>
      <c r="D184" s="37"/>
    </row>
  </sheetData>
  <mergeCells count="37">
    <mergeCell ref="B175:D175"/>
    <mergeCell ref="B184:D184"/>
    <mergeCell ref="B148:D148"/>
    <mergeCell ref="B150:D150"/>
    <mergeCell ref="B157:D157"/>
    <mergeCell ref="B164:D164"/>
    <mergeCell ref="B173:D173"/>
    <mergeCell ref="B130:D130"/>
    <mergeCell ref="B139:D139"/>
    <mergeCell ref="B141:D141"/>
    <mergeCell ref="B142:D142"/>
    <mergeCell ref="B143:D143"/>
    <mergeCell ref="B104:D104"/>
    <mergeCell ref="B106:D106"/>
    <mergeCell ref="B109:D109"/>
    <mergeCell ref="B116:D116"/>
    <mergeCell ref="B123:D123"/>
    <mergeCell ref="B73:D73"/>
    <mergeCell ref="B74:D74"/>
    <mergeCell ref="B81:D81"/>
    <mergeCell ref="B88:D88"/>
    <mergeCell ref="B95:D95"/>
    <mergeCell ref="B46:D46"/>
    <mergeCell ref="B53:D53"/>
    <mergeCell ref="B60:D60"/>
    <mergeCell ref="B69:D69"/>
    <mergeCell ref="B71:D71"/>
    <mergeCell ref="B18:D18"/>
    <mergeCell ref="B24:D24"/>
    <mergeCell ref="B31:D31"/>
    <mergeCell ref="B38:D38"/>
    <mergeCell ref="B39:D39"/>
    <mergeCell ref="B2:D2"/>
    <mergeCell ref="B3:D3"/>
    <mergeCell ref="B5:D5"/>
    <mergeCell ref="B7:D7"/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showGridLines="0" zoomScaleNormal="100" workbookViewId="0"/>
  </sheetViews>
  <sheetFormatPr baseColWidth="10" defaultColWidth="8.6640625" defaultRowHeight="14.25" x14ac:dyDescent="0.45"/>
  <cols>
    <col min="1" max="1" width="2" customWidth="1"/>
    <col min="2" max="2" width="30" customWidth="1"/>
    <col min="3" max="3" width="52" customWidth="1"/>
    <col min="4" max="4" width="2" customWidth="1"/>
  </cols>
  <sheetData>
    <row r="1" spans="2:3" ht="7.5" customHeight="1" x14ac:dyDescent="0.45"/>
    <row r="2" spans="2:3" ht="30" customHeight="1" x14ac:dyDescent="0.45">
      <c r="B2" s="39" t="s">
        <v>85</v>
      </c>
      <c r="C2" s="39"/>
    </row>
    <row r="4" spans="2:3" ht="51" x14ac:dyDescent="0.45">
      <c r="B4" s="1" t="s">
        <v>86</v>
      </c>
      <c r="C4" s="19" t="s">
        <v>87</v>
      </c>
    </row>
    <row r="6" spans="2:3" ht="27.75" customHeight="1" x14ac:dyDescent="0.45">
      <c r="B6" s="1" t="s">
        <v>88</v>
      </c>
      <c r="C6" s="20" t="s">
        <v>89</v>
      </c>
    </row>
    <row r="8" spans="2:3" ht="27.75" customHeight="1" x14ac:dyDescent="0.45">
      <c r="B8" s="1" t="s">
        <v>90</v>
      </c>
      <c r="C8" s="19" t="s">
        <v>91</v>
      </c>
    </row>
    <row r="10" spans="2:3" ht="27.75" customHeight="1" x14ac:dyDescent="0.45">
      <c r="B10" s="1" t="s">
        <v>92</v>
      </c>
      <c r="C10" s="20" t="s">
        <v>93</v>
      </c>
    </row>
    <row r="12" spans="2:3" ht="27.75" customHeight="1" x14ac:dyDescent="0.45">
      <c r="B12" s="1" t="s">
        <v>94</v>
      </c>
      <c r="C12" s="19" t="s">
        <v>95</v>
      </c>
    </row>
    <row r="14" spans="2:3" ht="27.75" customHeight="1" x14ac:dyDescent="0.45">
      <c r="B14" s="1" t="s">
        <v>96</v>
      </c>
      <c r="C14" s="20" t="s">
        <v>97</v>
      </c>
    </row>
    <row r="16" spans="2:3" ht="38.25" x14ac:dyDescent="0.45">
      <c r="B16" s="1" t="s">
        <v>98</v>
      </c>
      <c r="C16" s="19" t="s">
        <v>99</v>
      </c>
    </row>
    <row r="18" spans="2:3" ht="27.75" customHeight="1" x14ac:dyDescent="0.45">
      <c r="B18" s="1" t="s">
        <v>100</v>
      </c>
      <c r="C18" s="20" t="s">
        <v>101</v>
      </c>
    </row>
    <row r="20" spans="2:3" ht="27.75" customHeight="1" x14ac:dyDescent="0.45">
      <c r="B20" s="1" t="s">
        <v>102</v>
      </c>
      <c r="C20" s="19" t="s">
        <v>103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Itération H Global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Alioune Sidibe</cp:lastModifiedBy>
  <cp:revision>0</cp:revision>
  <dcterms:created xsi:type="dcterms:W3CDTF">2026-04-29T10:07:48Z</dcterms:created>
  <dcterms:modified xsi:type="dcterms:W3CDTF">2026-05-01T20:07:16Z</dcterms:modified>
  <dc:language>en-US</dc:language>
</cp:coreProperties>
</file>